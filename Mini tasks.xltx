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charts/colors3.xml" ContentType="application/vnd.ms-office.chartcolorstyle+xml"/>
  <Override PartName="/xl/charts/style3.xml" ContentType="application/vnd.ms-office.chart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olors2.xml" ContentType="application/vnd.ms-office.chartcolorstyle+xml"/>
  <Override PartName="/xl/charts/chart2.xml" ContentType="application/vnd.openxmlformats-officedocument.drawingml.chart+xml"/>
  <Override PartName="/xl/charts/colors1.xml" ContentType="application/vnd.ms-office.chartcolorstyle+xml"/>
  <Override PartName="/xl/styles.xml" ContentType="application/vnd.openxmlformats-officedocument.spreadsheetml.styles+xml"/>
  <Override PartName="/docProps/core.xml" ContentType="application/vnd.openxmlformats-package.core-properties+xml"/>
  <Override PartName="/xl/charts/style1.xml" ContentType="application/vnd.ms-office.chartstyle+xml"/>
  <Override PartName="/xl/charts/chart1.xml" ContentType="application/vnd.openxmlformats-officedocument.drawingml.chart+xml"/>
  <Override PartName="/xl/charts/style2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worksheets/sheet1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Shopping List Comparison" sheetId="1" state="visible" r:id="rId1"/>
    <sheet name="Yearly cost of owning a pet" sheetId="2" state="visible" r:id="rId2"/>
    <sheet name="Vacation cost comparison" sheetId="3" state="visible" r:id="rId3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<sst xmlns="http://schemas.openxmlformats.org/spreadsheetml/2006/main" count="61" uniqueCount="61">
  <si>
    <t>WaltMart</t>
  </si>
  <si>
    <t xml:space="preserve">Dollar Trap</t>
  </si>
  <si>
    <t xml:space="preserve">Office Repo</t>
  </si>
  <si>
    <t>Susan</t>
  </si>
  <si>
    <t>Waltmart</t>
  </si>
  <si>
    <t xml:space="preserve">Dollar trap</t>
  </si>
  <si>
    <t xml:space="preserve">Office repo</t>
  </si>
  <si>
    <t xml:space="preserve">Ball Point Pen</t>
  </si>
  <si>
    <t xml:space="preserve">TI-35 Calculator</t>
  </si>
  <si>
    <t xml:space="preserve">100 page notebook</t>
  </si>
  <si>
    <t xml:space="preserve">8 oz Glue</t>
  </si>
  <si>
    <t xml:space="preserve">Clear tape</t>
  </si>
  <si>
    <t>Eraser</t>
  </si>
  <si>
    <t xml:space="preserve">10 No.2 pencils</t>
  </si>
  <si>
    <t xml:space="preserve">2 inch binder</t>
  </si>
  <si>
    <t xml:space="preserve">USB Stick 5gb</t>
  </si>
  <si>
    <t xml:space="preserve">8 color markers</t>
  </si>
  <si>
    <t>Stapler</t>
  </si>
  <si>
    <t xml:space="preserve">Planner book</t>
  </si>
  <si>
    <t>Protractor</t>
  </si>
  <si>
    <t>Compass</t>
  </si>
  <si>
    <t xml:space="preserve">Liquid paper</t>
  </si>
  <si>
    <t>Total</t>
  </si>
  <si>
    <t>Dog</t>
  </si>
  <si>
    <t>Cat</t>
  </si>
  <si>
    <t>Initial</t>
  </si>
  <si>
    <t>Purchase</t>
  </si>
  <si>
    <t>Collar</t>
  </si>
  <si>
    <t>Tag</t>
  </si>
  <si>
    <t>Bowl</t>
  </si>
  <si>
    <t>Leash</t>
  </si>
  <si>
    <t xml:space="preserve">Initial total</t>
  </si>
  <si>
    <t>Monthly</t>
  </si>
  <si>
    <t>Food</t>
  </si>
  <si>
    <t>Litter</t>
  </si>
  <si>
    <t>Treats</t>
  </si>
  <si>
    <t>Subtotal</t>
  </si>
  <si>
    <t xml:space="preserve">Monthly total</t>
  </si>
  <si>
    <t xml:space="preserve">One Year Costs</t>
  </si>
  <si>
    <t xml:space="preserve">Chicago Museum</t>
  </si>
  <si>
    <t xml:space="preserve">Orlando Theme Park</t>
  </si>
  <si>
    <t xml:space="preserve">Miami Cruise</t>
  </si>
  <si>
    <t xml:space="preserve">Per Person Expenses</t>
  </si>
  <si>
    <t xml:space="preserve">Air fare</t>
  </si>
  <si>
    <t xml:space="preserve">Natural history</t>
  </si>
  <si>
    <t xml:space="preserve">Chicago museum of arts</t>
  </si>
  <si>
    <t xml:space="preserve">Science Museum</t>
  </si>
  <si>
    <t xml:space="preserve">Museum of broadcast history</t>
  </si>
  <si>
    <t>Disneyland</t>
  </si>
  <si>
    <t xml:space="preserve">Universal studios</t>
  </si>
  <si>
    <t xml:space="preserve">Sea world</t>
  </si>
  <si>
    <t xml:space="preserve">Busch gardens</t>
  </si>
  <si>
    <t>Cruise</t>
  </si>
  <si>
    <t xml:space="preserve">Subtotal of tickets per person</t>
  </si>
  <si>
    <t xml:space="preserve">Number of people</t>
  </si>
  <si>
    <t xml:space="preserve">Total ticket costs</t>
  </si>
  <si>
    <t xml:space="preserve">Car expenses</t>
  </si>
  <si>
    <t xml:space="preserve">Hotel expenses</t>
  </si>
  <si>
    <t xml:space="preserve">Cost per night</t>
  </si>
  <si>
    <t xml:space="preserve">Number of nights</t>
  </si>
  <si>
    <t xml:space="preserve">Hotel total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</si>
</sst>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409]* #,##0.00_);_([$$-409]* \(#,##0.00\);_([$$-409]* &quot;-&quot;??_);_(@_)"/>
  </numFmts>
  <fonts count="1">
    <font>
      <sz val="11.000000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none"/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3" tint="0.59999389629810485"/>
        <bgColor theme="3" tint="0.59999389629810485"/>
      </patternFill>
    </fill>
  </fills>
  <borders count="1">
    <border>
      <left style="none"/>
      <right style="none"/>
      <top style="none"/>
      <bottom style="none"/>
      <diagonal style="none"/>
    </border>
  </borders>
  <cellStyleXfs count="2">
    <xf fontId="0" fillId="0" borderId="0" numFmtId="0" applyNumberFormat="1" applyFont="1" applyFill="1" applyBorder="1"/>
    <xf fontId="0" fillId="2" borderId="0" numFmtId="44" applyNumberFormat="1" applyFont="0" applyFill="0" applyBorder="0"/>
  </cellStyleXfs>
  <cellXfs count="15">
    <xf fontId="0" fillId="0" borderId="0" numFmtId="0" xfId="0"/>
    <xf fontId="0" fillId="0" borderId="0" numFmtId="164" xfId="0" applyNumberFormat="1"/>
    <xf fontId="0" fillId="0" borderId="0" numFmtId="164" xfId="1" applyNumberFormat="1"/>
    <xf fontId="0" fillId="3" borderId="0" numFmtId="0" xfId="0" applyFill="1"/>
    <xf fontId="0" fillId="3" borderId="0" numFmtId="164" xfId="0" applyNumberFormat="1" applyFill="1"/>
    <xf fontId="0" fillId="4" borderId="0" numFmtId="0" xfId="0" applyFill="1"/>
    <xf fontId="0" fillId="4" borderId="0" numFmtId="164" xfId="0" applyNumberFormat="1" applyFill="1"/>
    <xf fontId="0" fillId="5" borderId="0" numFmtId="0" xfId="0" applyFill="1"/>
    <xf fontId="0" fillId="5" borderId="0" numFmtId="164" xfId="0" applyNumberFormat="1" applyFill="1"/>
    <xf fontId="0" fillId="6" borderId="0" numFmtId="0" xfId="0" applyFill="1"/>
    <xf fontId="0" fillId="6" borderId="0" numFmtId="164" xfId="0" applyNumberFormat="1" applyFill="1"/>
    <xf fontId="0" fillId="7" borderId="0" numFmtId="0" xfId="0" applyFill="1"/>
    <xf fontId="0" fillId="7" borderId="0" numFmtId="164" xfId="0" applyNumberFormat="1" applyFill="1"/>
    <xf fontId="0" fillId="7" borderId="0" numFmtId="0" xfId="0" applyFill="1">
      <protection hidden="0" locked="1"/>
    </xf>
    <xf fontId="0" fillId="0" borderId="0" numFmtId="0" xfId="0">
      <protection hidden="0" locked="1"/>
    </xf>
  </cellXfs>
  <cellStyles count="2">
    <cellStyle name="Normal" xfId="0" builtinId="0"/>
    <cellStyle name="Currenc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worksheet" Target="worksheets/sheet3.xml"/><Relationship  Id="rId4" Type="http://schemas.openxmlformats.org/officeDocument/2006/relationships/theme" Target="theme/theme1.xml"/><Relationship  Id="rId5" Type="http://schemas.openxmlformats.org/officeDocument/2006/relationships/sharedStrings" Target="sharedStrings.xml"/><Relationship  Id="rId6" Type="http://schemas.openxmlformats.org/officeDocument/2006/relationships/styles" Target="styles.xml"/></Relationships>
</file>

<file path=xl/charts/_rels/chart1.xml.rels><?xml version="1.0" encoding="UTF-8" standalone="yes"?><Relationships xmlns="http://schemas.openxmlformats.org/package/2006/relationships"><Relationship Id="rId1" Type="http://schemas.microsoft.com/office/2011/relationships/chartStyle" Target="style1.xml" /><Relationship Id="rId2" Type="http://schemas.microsoft.com/office/2011/relationships/chartColorStyle" Target="colors1.xml" /></Relationships>
</file>

<file path=xl/charts/_rels/chart2.xml.rels><?xml version="1.0" encoding="UTF-8" standalone="yes"?><Relationships xmlns="http://schemas.openxmlformats.org/package/2006/relationships"><Relationship Id="rId1" Type="http://schemas.microsoft.com/office/2011/relationships/chartStyle" Target="style2.xml" /><Relationship Id="rId2" Type="http://schemas.microsoft.com/office/2011/relationships/chartColorStyle" Target="colors2.xml" /></Relationships>
</file>

<file path=xl/charts/_rels/chart3.xml.rels><?xml version="1.0" encoding="UTF-8" standalone="yes"?><Relationships xmlns="http://schemas.openxmlformats.org/package/2006/relationships"><Relationship Id="rId1" Type="http://schemas.microsoft.com/office/2011/relationships/chartStyle" Target="style3.xml" /><Relationship Id="rId2" Type="http://schemas.microsoft.com/office/2011/relationships/chartColorStyle" Target="colors3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5="http://schemas.microsoft.com/office/drawing/2012/chart" xmlns:c14="http://schemas.microsoft.com/office/drawing/2007/8/2/chart" xmlns:c16r2="http://schemas.microsoft.com/office/drawing/2015/06/chart">
  <c:date1904 val="0"/>
  <c:lang val="en-US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p>
            <a:pPr>
              <a:defRPr sz="1400" b="0" spc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/>
              <a:t>Shopping price comparisons</a:t>
            </a:r>
            <a:endParaRPr/>
          </a:p>
        </c:rich>
      </c:tx>
      <c:layout/>
      <c:overlay val="0"/>
      <c:spPr bwMode="auto">
        <a:prstGeom prst="rect">
          <a:avLst/>
        </a:prstGeom>
        <a:noFill/>
        <a:ln>
          <a:noFill/>
        </a:ln>
      </c:spPr>
      <c:txPr>
        <a:bodyPr/>
        <a:p>
          <a:pPr>
            <a:defRPr sz="1400" b="0" spc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/>
        </a:p>
      </c:txPr>
    </c:title>
    <c:autoTitleDeleted val="0"/>
    <c:plotArea>
      <c:layout>
        <c:manualLayout/>
      </c:layout>
      <c:barChart>
        <c:barDir val="bar"/>
        <c:grouping val="clustered"/>
        <c:varyColors val="0"/>
        <c:ser>
          <c:idx val="0"/>
          <c:order val="0"/>
          <c:tx>
            <c:strRef>
              <c:f>'Shopping List Comparison'!$G$2</c:f>
            </c:strRef>
          </c:tx>
          <c:spPr bwMode="auto">
            <a:prstGeom prst="rect">
              <a:avLst/>
            </a:prstGeom>
            <a:solidFill>
              <a:schemeClr val="accent1"/>
            </a:solidFill>
            <a:ln>
              <a:noFill/>
            </a:ln>
          </c:spPr>
          <c:invertIfNegative val="0"/>
          <c:val>
            <c:numRef>
              <c:f>'Shopping List Comparison'!$G$3:$G$17</c:f>
            </c:numRef>
          </c:val>
        </c:ser>
        <c:ser>
          <c:idx val="1"/>
          <c:order val="1"/>
          <c:tx>
            <c:strRef>
              <c:f>'Shopping List Comparison'!$H$2</c:f>
            </c:strRef>
          </c:tx>
          <c:spPr bwMode="auto">
            <a:prstGeom prst="rect">
              <a:avLst/>
            </a:prstGeom>
            <a:solidFill>
              <a:schemeClr val="accent2"/>
            </a:solidFill>
            <a:ln>
              <a:noFill/>
            </a:ln>
          </c:spPr>
          <c:invertIfNegative val="0"/>
          <c:val>
            <c:numRef>
              <c:f>'Shopping List Comparison'!$H$3:$H$17</c:f>
            </c:numRef>
          </c:val>
        </c:ser>
        <c:ser>
          <c:idx val="2"/>
          <c:order val="2"/>
          <c:tx>
            <c:strRef>
              <c:f>'Shopping List Comparison'!$I$2</c:f>
            </c:strRef>
          </c:tx>
          <c:spPr bwMode="auto">
            <a:prstGeom prst="rect">
              <a:avLst/>
            </a:prstGeom>
            <a:solidFill>
              <a:schemeClr val="accent3"/>
            </a:solidFill>
            <a:ln>
              <a:noFill/>
            </a:ln>
          </c:spPr>
          <c:invertIfNegative val="0"/>
          <c:val>
            <c:numRef>
              <c:f>'Shopping List Comparison'!$I$3:$I$17</c:f>
            </c:numRef>
          </c:val>
        </c:ser>
        <c:dLbls>
          <c:showBubbleSize val="0"/>
          <c:showCatName val="0"/>
          <c:showLegendKey val="0"/>
          <c:showPercent val="0"/>
          <c:showSerName val="0"/>
          <c:showVal val="0"/>
        </c:dLbls>
        <c:gapWidth val="182"/>
        <c:axId val="1866169525"/>
        <c:axId val="1866169526"/>
      </c:barChart>
      <c:catAx>
        <c:axId val="1866169525"/>
        <c:scaling>
          <c:orientation val="minMax"/>
        </c:scaling>
        <c:delete val="0"/>
        <c:axPos val="l"/>
        <c:majorTickMark val="none"/>
        <c:minorTickMark val="none"/>
        <c:tickLblPos val="nextTo"/>
        <c:spPr bwMode="auto">
          <a:prstGeom prst="rect">
            <a:avLst/>
          </a:prstGeom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</c:spPr>
        <c:txPr>
          <a:bodyPr/>
          <a:p>
            <a:pPr>
              <a:defRPr sz="90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/>
          </a:p>
        </c:txPr>
        <c:crossAx val="1866169526"/>
        <c:crosses val="autoZero"/>
        <c:auto val="1"/>
        <c:lblAlgn val="ctr"/>
        <c:lblOffset val="100"/>
        <c:noMultiLvlLbl val="0"/>
      </c:catAx>
      <c:valAx>
        <c:axId val="1866169526"/>
        <c:scaling>
          <c:orientation val="minMax"/>
        </c:scaling>
        <c:delete val="0"/>
        <c:axPos val="b"/>
        <c:majorGridlines>
          <c:spPr bwMode="auto">
            <a:prstGeom prst="rect">
              <a:avLst/>
            </a:prstGeom>
            <a:noFill/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/>
          <a:p>
            <a:pPr>
              <a:defRPr sz="90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/>
          </a:p>
        </c:txPr>
        <c:crossAx val="1866169525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legend>
      <c:legendPos val="b"/>
      <c:layout/>
      <c:overlay val="0"/>
      <c:spPr bwMode="auto">
        <a:prstGeom prst="rect">
          <a:avLst/>
        </a:prstGeom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 bwMode="auto">
    <a:xfrm>
      <a:off x="6886574" y="419099"/>
      <a:ext cx="4552949" cy="2724149"/>
    </a:xfrm>
    <a:prstGeom prst="rect">
      <a:avLst/>
    </a:prstGeom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</c:spPr>
  <c:txPr>
    <a:bodyPr/>
    <a:p>
      <a:pPr>
        <a:defRPr sz="1000">
          <a:solidFill>
            <a:schemeClr val="tx1"/>
          </a:solidFill>
          <a:latin typeface="+mn-lt"/>
          <a:ea typeface="+mn-ea"/>
          <a:cs typeface="+mn-cs"/>
        </a:defRPr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5="http://schemas.microsoft.com/office/drawing/2012/chart" xmlns:c14="http://schemas.microsoft.com/office/drawing/2007/8/2/chart" xmlns:c16r2="http://schemas.microsoft.com/office/drawing/2015/06/chart">
  <c:date1904 val="0"/>
  <c:lang val="en-US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p>
            <a:pPr>
              <a:defRPr sz="1400" b="0" spc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/>
              <a:t>Yearly Cost comparison of owning a cat and dog</a:t>
            </a:r>
            <a:endParaRPr/>
          </a:p>
        </c:rich>
      </c:tx>
      <c:layout>
        <c:manualLayout>
          <c:x val="0.018560"/>
          <c:y val="0.017480"/>
        </c:manualLayout>
      </c:layout>
      <c:overlay val="0"/>
      <c:spPr bwMode="auto">
        <a:prstGeom prst="rect">
          <a:avLst/>
        </a:prstGeom>
        <a:noFill/>
        <a:ln>
          <a:noFill/>
        </a:ln>
      </c:spPr>
      <c:txPr>
        <a:bodyPr/>
        <a:p>
          <a:pPr>
            <a:defRPr sz="1400" b="0" spc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/>
        </a:p>
      </c:txPr>
    </c:title>
    <c:autoTitleDeleted val="0"/>
    <c:plotArea>
      <c:layout>
        <c:manualLayout>
          <c:layoutTarget val="inner"/>
          <c:xMode val="edge"/>
          <c:yMode val="edge"/>
          <c:x val="0.080410"/>
          <c:y val="0.182260"/>
          <c:w val="0.837750"/>
          <c:h val="0.616700"/>
        </c:manualLayout>
      </c:layout>
      <c:barChart>
        <c:barDir val="bar"/>
        <c:grouping val="clustered"/>
        <c:varyColors val="0"/>
        <c:ser>
          <c:idx val="0"/>
          <c:order val="0"/>
          <c:spPr bwMode="auto">
            <a:prstGeom prst="rect">
              <a:avLst/>
            </a:prstGeom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'Yearly cost of owning a pet'!$B$17:$C$17</c:f>
            </c:strRef>
          </c:cat>
          <c:val>
            <c:numRef>
              <c:f>'Yearly cost of owning a pet'!$B$18:$C$18</c:f>
            </c:numRef>
          </c:val>
        </c:ser>
        <c:dLbls>
          <c:showBubbleSize val="0"/>
          <c:showCatName val="0"/>
          <c:showLegendKey val="0"/>
          <c:showPercent val="0"/>
          <c:showSerName val="0"/>
          <c:showVal val="0"/>
        </c:dLbls>
        <c:gapWidth val="182"/>
        <c:axId val="1866169531"/>
        <c:axId val="1866169532"/>
      </c:barChart>
      <c:catAx>
        <c:axId val="1866169531"/>
        <c:scaling>
          <c:orientation val="minMax"/>
        </c:scaling>
        <c:delete val="0"/>
        <c:axPos val="l"/>
        <c:majorTickMark val="none"/>
        <c:minorTickMark val="none"/>
        <c:tickLblPos val="nextTo"/>
        <c:spPr bwMode="auto">
          <a:prstGeom prst="rect">
            <a:avLst/>
          </a:prstGeom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</c:spPr>
        <c:txPr>
          <a:bodyPr/>
          <a:p>
            <a:pPr>
              <a:defRPr sz="90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/>
          </a:p>
        </c:txPr>
        <c:crossAx val="1866169532"/>
        <c:crosses val="autoZero"/>
        <c:auto val="1"/>
        <c:lblAlgn val="ctr"/>
        <c:lblOffset val="100"/>
        <c:noMultiLvlLbl val="0"/>
      </c:catAx>
      <c:valAx>
        <c:axId val="1866169532"/>
        <c:scaling>
          <c:orientation val="minMax"/>
        </c:scaling>
        <c:delete val="0"/>
        <c:axPos val="b"/>
        <c:majorGridlines>
          <c:spPr bwMode="auto">
            <a:prstGeom prst="rect">
              <a:avLst/>
            </a:prstGeom>
            <a:noFill/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/>
          <a:p>
            <a:pPr>
              <a:defRPr sz="90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/>
          </a:p>
        </c:txPr>
        <c:crossAx val="1866169531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legend>
      <c:legendPos val="b"/>
      <c:layout/>
      <c:overlay val="0"/>
      <c:spPr bwMode="auto">
        <a:prstGeom prst="rect">
          <a:avLst/>
        </a:prstGeom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 bwMode="auto">
    <a:xfrm>
      <a:off x="2781299" y="409574"/>
      <a:ext cx="4552949" cy="2724149"/>
    </a:xfrm>
    <a:prstGeom prst="rect">
      <a:avLst/>
    </a:prstGeom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</c:spPr>
  <c:txPr>
    <a:bodyPr/>
    <a:p>
      <a:pPr>
        <a:defRPr sz="1000">
          <a:solidFill>
            <a:schemeClr val="tx1"/>
          </a:solidFill>
          <a:latin typeface="+mn-lt"/>
          <a:ea typeface="+mn-ea"/>
          <a:cs typeface="+mn-cs"/>
        </a:defRPr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5="http://schemas.microsoft.com/office/drawing/2012/chart" xmlns:c14="http://schemas.microsoft.com/office/drawing/2007/8/2/chart" xmlns:c16r2="http://schemas.microsoft.com/office/drawing/2015/06/chart">
  <c:date1904 val="0"/>
  <c:lang val="en-US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p>
            <a:pPr>
              <a:defRPr sz="1400" b="0" spc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/>
              <a:t>Cost spent on each choice vacation</a:t>
            </a:r>
            <a:endParaRPr/>
          </a:p>
        </c:rich>
      </c:tx>
      <c:layout/>
      <c:overlay val="0"/>
      <c:spPr bwMode="auto">
        <a:prstGeom prst="rect">
          <a:avLst/>
        </a:prstGeom>
        <a:noFill/>
        <a:ln>
          <a:noFill/>
        </a:ln>
      </c:spPr>
      <c:txPr>
        <a:bodyPr/>
        <a:p>
          <a:pPr>
            <a:defRPr sz="1400" b="0" spc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/>
        </a:p>
      </c:txPr>
    </c:title>
    <c:autoTitleDeleted val="0"/>
    <c:plotArea>
      <c:layout>
        <c:manualLayout/>
      </c:layout>
      <c:barChart>
        <c:barDir val="bar"/>
        <c:grouping val="clustered"/>
        <c:varyColors val="0"/>
        <c:ser>
          <c:idx val="0"/>
          <c:order val="0"/>
          <c:tx>
            <c:strRef>
              <c:f>'Vacation cost comparison'!$A$28</c:f>
              <c:strCache>
                <c:ptCount val="1"/>
                <c:pt idx="0">
                  <c:v>Total</c:v>
                </c:pt>
              </c:strCache>
            </c:strRef>
          </c:tx>
          <c:spPr bwMode="auto">
            <a:prstGeom prst="rect">
              <a:avLst/>
            </a:prstGeom>
            <a:solidFill>
              <a:schemeClr val="accent1"/>
            </a:solidFill>
            <a:ln>
              <a:noFill/>
            </a:ln>
          </c:spPr>
          <c:invertIfNegative val="0"/>
          <c:val>
            <c:numRef>
              <c:f>'Vacation cost comparison'!$B$28:$D$28</c:f>
            </c:numRef>
          </c:val>
        </c:ser>
        <c:dLbls>
          <c:showBubbleSize val="0"/>
          <c:showCatName val="0"/>
          <c:showLegendKey val="0"/>
          <c:showPercent val="0"/>
          <c:showSerName val="0"/>
          <c:showVal val="0"/>
        </c:dLbls>
        <c:gapWidth val="182"/>
        <c:axId val="1866169537"/>
        <c:axId val="1866169538"/>
      </c:barChart>
      <c:catAx>
        <c:axId val="1866169537"/>
        <c:scaling>
          <c:orientation val="minMax"/>
        </c:scaling>
        <c:delete val="0"/>
        <c:axPos val="l"/>
        <c:majorTickMark val="none"/>
        <c:minorTickMark val="none"/>
        <c:tickLblPos val="nextTo"/>
        <c:spPr bwMode="auto">
          <a:prstGeom prst="rect">
            <a:avLst/>
          </a:prstGeom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</c:spPr>
        <c:txPr>
          <a:bodyPr/>
          <a:p>
            <a:pPr>
              <a:defRPr sz="90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/>
          </a:p>
        </c:txPr>
        <c:crossAx val="1866169538"/>
        <c:crosses val="autoZero"/>
        <c:auto val="1"/>
        <c:lblAlgn val="ctr"/>
        <c:lblOffset val="100"/>
        <c:noMultiLvlLbl val="0"/>
      </c:catAx>
      <c:valAx>
        <c:axId val="1866169538"/>
        <c:scaling>
          <c:orientation val="minMax"/>
        </c:scaling>
        <c:delete val="0"/>
        <c:axPos val="b"/>
        <c:majorGridlines>
          <c:spPr bwMode="auto">
            <a:prstGeom prst="rect">
              <a:avLst/>
            </a:prstGeom>
            <a:noFill/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/>
          <a:p>
            <a:pPr>
              <a:defRPr sz="90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/>
          </a:p>
        </c:txPr>
        <c:crossAx val="1866169537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legend>
      <c:legendPos val="b"/>
      <c:layout/>
      <c:overlay val="0"/>
      <c:spPr bwMode="auto">
        <a:prstGeom prst="rect">
          <a:avLst/>
        </a:prstGeom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 bwMode="auto">
    <a:xfrm>
      <a:off x="5448299" y="571499"/>
      <a:ext cx="4552949" cy="2724149"/>
    </a:xfrm>
    <a:prstGeom prst="rect">
      <a:avLst/>
    </a:prstGeom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</c:spPr>
  <c:txPr>
    <a:bodyPr/>
    <a:p>
      <a:pPr>
        <a:defRPr sz="1000">
          <a:solidFill>
            <a:schemeClr val="tx1"/>
          </a:solidFill>
          <a:latin typeface="+mn-lt"/>
          <a:ea typeface="+mn-ea"/>
          <a:cs typeface="+mn-cs"/>
        </a:defRPr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 bwMode="auto">
      <a:prstGeom prst="rect">
        <a:avLst/>
      </a:prstGeom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 bwMode="auto">
      <a:prstGeom prst="rect">
        <a:avLst/>
      </a:prstGeom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 bwMode="auto">
      <a:prstGeom prst="rect">
        <a:avLst/>
      </a:prstGeom>
      <a:ln w="9525">
        <a:solidFill>
          <a:schemeClr val="phClr"/>
        </a:solidFill>
      </a:ln>
    </cs:spPr>
  </cs:dataPointMarker>
  <cs:dataPointWireframe>
    <cs:lnRef idx="0">
      <cs:styleClr val="auto"/>
    </cs:lnRef>
    <cs:fillRef idx="1"/>
    <cs:effectRef idx="0"/>
    <cs:fontRef idx="minor">
      <a:schemeClr val="tx1"/>
    </cs:fontRef>
    <cs:spPr bwMode="auto">
      <a:prstGeom prst="rect">
        <a:avLst/>
      </a:prstGeom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 bwMode="auto">
      <a:prstGeom prst="rect">
        <a:avLst/>
      </a:prstGeom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dataTable>
  <cs:downBar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 bwMode="auto">
      <a:prstGeom prst="rect">
        <a:avLst/>
      </a:prstGeom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spc="0"/>
  </cs:title>
  <cs:trendline>
    <cs:lnRef idx="0">
      <cs:styleClr val="auto"/>
    </cs:lnRef>
    <cs:fillRef idx="0"/>
    <cs:effectRef idx="0"/>
    <cs:fontRef idx="minor">
      <a:schemeClr val="tx1"/>
    </cs:fontRef>
    <cs:spPr bwMode="auto">
      <a:prstGeom prst="rect">
        <a:avLst/>
      </a:prstGeom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  <cs:spPr bwMode="auto">
      <a:prstGeom prst="rect">
        <a:avLst/>
      </a:prstGeom>
      <a:noFill/>
      <a:ln>
        <a:noFill/>
      </a:ln>
    </cs:spPr>
  </cs:wall>
  <cs:dataPointMarkerLayout symbol="circle" size="5"/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 bwMode="auto">
      <a:prstGeom prst="rect">
        <a:avLst/>
      </a:prstGeom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 bwMode="auto">
      <a:prstGeom prst="rect">
        <a:avLst/>
      </a:prstGeom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 bwMode="auto">
      <a:prstGeom prst="rect">
        <a:avLst/>
      </a:prstGeom>
      <a:ln w="9525">
        <a:solidFill>
          <a:schemeClr val="phClr"/>
        </a:solidFill>
      </a:ln>
    </cs:spPr>
  </cs:dataPointMarker>
  <cs:dataPointWireframe>
    <cs:lnRef idx="0">
      <cs:styleClr val="auto"/>
    </cs:lnRef>
    <cs:fillRef idx="1"/>
    <cs:effectRef idx="0"/>
    <cs:fontRef idx="minor">
      <a:schemeClr val="tx1"/>
    </cs:fontRef>
    <cs:spPr bwMode="auto">
      <a:prstGeom prst="rect">
        <a:avLst/>
      </a:prstGeom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 bwMode="auto">
      <a:prstGeom prst="rect">
        <a:avLst/>
      </a:prstGeom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dataTable>
  <cs:downBar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 bwMode="auto">
      <a:prstGeom prst="rect">
        <a:avLst/>
      </a:prstGeom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spc="0"/>
  </cs:title>
  <cs:trendline>
    <cs:lnRef idx="0">
      <cs:styleClr val="auto"/>
    </cs:lnRef>
    <cs:fillRef idx="0"/>
    <cs:effectRef idx="0"/>
    <cs:fontRef idx="minor">
      <a:schemeClr val="tx1"/>
    </cs:fontRef>
    <cs:spPr bwMode="auto">
      <a:prstGeom prst="rect">
        <a:avLst/>
      </a:prstGeom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  <cs:spPr bwMode="auto">
      <a:prstGeom prst="rect">
        <a:avLst/>
      </a:prstGeom>
      <a:noFill/>
      <a:ln>
        <a:noFill/>
      </a:ln>
    </cs:spPr>
  </cs:wall>
  <cs:dataPointMarkerLayout symbol="circle" size="5"/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 bwMode="auto">
      <a:prstGeom prst="rect">
        <a:avLst/>
      </a:prstGeom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 bwMode="auto">
      <a:prstGeom prst="rect">
        <a:avLst/>
      </a:prstGeom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 bwMode="auto">
      <a:prstGeom prst="rect">
        <a:avLst/>
      </a:prstGeom>
      <a:ln w="9525">
        <a:solidFill>
          <a:schemeClr val="phClr"/>
        </a:solidFill>
      </a:ln>
    </cs:spPr>
  </cs:dataPointMarker>
  <cs:dataPointWireframe>
    <cs:lnRef idx="0">
      <cs:styleClr val="auto"/>
    </cs:lnRef>
    <cs:fillRef idx="1"/>
    <cs:effectRef idx="0"/>
    <cs:fontRef idx="minor">
      <a:schemeClr val="tx1"/>
    </cs:fontRef>
    <cs:spPr bwMode="auto">
      <a:prstGeom prst="rect">
        <a:avLst/>
      </a:prstGeom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 bwMode="auto">
      <a:prstGeom prst="rect">
        <a:avLst/>
      </a:prstGeom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dataTable>
  <cs:downBar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 bwMode="auto">
      <a:prstGeom prst="rect">
        <a:avLst/>
      </a:prstGeom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 bwMode="auto">
      <a:prstGeom prst="rect">
        <a:avLst/>
      </a:prstGeom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spc="0"/>
  </cs:title>
  <cs:trendline>
    <cs:lnRef idx="0">
      <cs:styleClr val="auto"/>
    </cs:lnRef>
    <cs:fillRef idx="0"/>
    <cs:effectRef idx="0"/>
    <cs:fontRef idx="minor">
      <a:schemeClr val="tx1"/>
    </cs:fontRef>
    <cs:spPr bwMode="auto">
      <a:prstGeom prst="rect">
        <a:avLst/>
      </a:prstGeom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 bwMode="auto">
      <a:prstGeom prst="rect">
        <a:avLst/>
      </a:prstGeom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  <cs:spPr bwMode="auto">
      <a:prstGeom prst="rect">
        <a:avLst/>
      </a:prstGeom>
      <a:noFill/>
      <a:ln>
        <a:noFill/>
      </a:ln>
    </cs:spPr>
  </cs:wall>
  <cs:dataPointMarkerLayout symbol="circle" size="5"/>
</cs:chartStyl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 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 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chart" Target="../charts/chart3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twoCell">
    <xdr:from>
      <xdr:col>10</xdr:col>
      <xdr:colOff>28574</xdr:colOff>
      <xdr:row>2</xdr:row>
      <xdr:rowOff>57149</xdr:rowOff>
    </xdr:from>
    <xdr:to>
      <xdr:col>17</xdr:col>
      <xdr:colOff>314323</xdr:colOff>
      <xdr:row>17</xdr:row>
      <xdr:rowOff>66673</xdr:rowOff>
    </xdr:to>
    <xdr:graphicFrame>
      <xdr:nvGraphicFramePr>
        <xdr:cNvPr id="358793400" name=""/>
        <xdr:cNvGraphicFramePr>
          <a:graphicFrameLocks xmlns:a="http://schemas.openxmlformats.org/drawingml/2006/main"/>
        </xdr:cNvGraphicFramePr>
      </xdr:nvGraphicFramePr>
      <xdr:xfrm>
        <a:off x="6886574" y="419099"/>
        <a:ext cx="4552949" cy="2724149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twoCell">
    <xdr:from>
      <xdr:col>4</xdr:col>
      <xdr:colOff>47623</xdr:colOff>
      <xdr:row>2</xdr:row>
      <xdr:rowOff>47623</xdr:rowOff>
    </xdr:from>
    <xdr:to>
      <xdr:col>11</xdr:col>
      <xdr:colOff>333374</xdr:colOff>
      <xdr:row>17</xdr:row>
      <xdr:rowOff>57149</xdr:rowOff>
    </xdr:to>
    <xdr:graphicFrame>
      <xdr:nvGraphicFramePr>
        <xdr:cNvPr id="686549452" name=""/>
        <xdr:cNvGraphicFramePr>
          <a:graphicFrameLocks xmlns:a="http://schemas.openxmlformats.org/drawingml/2006/main"/>
        </xdr:cNvGraphicFramePr>
      </xdr:nvGraphicFramePr>
      <xdr:xfrm>
        <a:off x="2781299" y="409574"/>
        <a:ext cx="4552949" cy="2724149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twoCell">
    <xdr:from>
      <xdr:col>5</xdr:col>
      <xdr:colOff>57149</xdr:colOff>
      <xdr:row>3</xdr:row>
      <xdr:rowOff>28574</xdr:rowOff>
    </xdr:from>
    <xdr:to>
      <xdr:col>12</xdr:col>
      <xdr:colOff>342899</xdr:colOff>
      <xdr:row>18</xdr:row>
      <xdr:rowOff>38099</xdr:rowOff>
    </xdr:to>
    <xdr:graphicFrame>
      <xdr:nvGraphicFramePr>
        <xdr:cNvPr id="1254852504" name=""/>
        <xdr:cNvGraphicFramePr>
          <a:graphicFrameLocks xmlns:a="http://schemas.openxmlformats.org/drawingml/2006/main"/>
        </xdr:cNvGraphicFramePr>
      </xdr:nvGraphicFramePr>
      <xdr:xfrm>
        <a:off x="5448299" y="571499"/>
        <a:ext cx="4552949" cy="2724149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A1" activeCellId="0" sqref="A1"/>
    </sheetView>
  </sheetViews>
  <sheetFormatPr defaultRowHeight="14.25"/>
  <cols>
    <col bestFit="1" min="1" max="1" width="17.140625"/>
    <col bestFit="1" min="2" max="2" width="9.00390625"/>
    <col bestFit="1" min="3" max="3" width="10.00390625"/>
    <col bestFit="1" min="4" max="4" width="10.421875"/>
    <col bestFit="1" min="8" max="8" width="9.7109375"/>
    <col bestFit="1" min="9" max="9" width="10.00390625"/>
  </cols>
  <sheetData>
    <row r="1" ht="14.25"/>
    <row r="2" ht="14.25">
      <c r="B2" t="s">
        <v>0</v>
      </c>
      <c r="C2" t="s">
        <v>1</v>
      </c>
      <c r="D2" t="s">
        <v>2</v>
      </c>
      <c r="F2" t="s">
        <v>3</v>
      </c>
      <c r="G2" t="s">
        <v>4</v>
      </c>
      <c r="H2" t="s">
        <v>5</v>
      </c>
      <c r="I2" t="s">
        <v>6</v>
      </c>
    </row>
    <row r="3" ht="14.25">
      <c r="A3" t="s">
        <v>7</v>
      </c>
      <c r="B3" s="1">
        <v>0.5</v>
      </c>
      <c r="C3" s="1">
        <v>0.40000000000000002</v>
      </c>
      <c r="D3" s="1">
        <v>1.3999999999999999</v>
      </c>
      <c r="F3">
        <v>3</v>
      </c>
      <c r="G3" s="1">
        <f t="shared" ref="G3:G9" si="0">F3*B3</f>
        <v>1.5</v>
      </c>
      <c r="H3" s="1">
        <f t="shared" ref="H3:H9" si="1">F3*C3</f>
        <v>1.2000000000000002</v>
      </c>
      <c r="I3" s="1">
        <f t="shared" ref="I3:I9" si="2">F3*D3</f>
        <v>4.1999999999999993</v>
      </c>
    </row>
    <row r="4" ht="14.25">
      <c r="A4" t="s">
        <v>8</v>
      </c>
      <c r="B4" s="1">
        <v>28</v>
      </c>
      <c r="C4" s="1">
        <v>33</v>
      </c>
      <c r="D4" s="1">
        <v>31</v>
      </c>
      <c r="F4">
        <v>1</v>
      </c>
      <c r="G4" s="1">
        <f t="shared" si="0"/>
        <v>28</v>
      </c>
      <c r="H4" s="1">
        <f t="shared" si="1"/>
        <v>33</v>
      </c>
      <c r="I4" s="1">
        <f t="shared" si="2"/>
        <v>31</v>
      </c>
    </row>
    <row r="5" ht="14.25">
      <c r="A5" t="s">
        <v>9</v>
      </c>
      <c r="B5" s="2">
        <v>1.8</v>
      </c>
      <c r="C5" s="1">
        <v>1</v>
      </c>
      <c r="D5" s="1">
        <v>2</v>
      </c>
      <c r="F5">
        <v>7</v>
      </c>
      <c r="G5" s="1">
        <f t="shared" si="0"/>
        <v>12.6</v>
      </c>
      <c r="H5" s="1">
        <f t="shared" si="1"/>
        <v>7</v>
      </c>
      <c r="I5" s="1">
        <f t="shared" si="2"/>
        <v>14</v>
      </c>
    </row>
    <row r="6" ht="14.25">
      <c r="A6" t="s">
        <v>10</v>
      </c>
      <c r="B6" s="1">
        <v>1.2</v>
      </c>
      <c r="C6" s="1">
        <v>0.80000000000000004</v>
      </c>
      <c r="D6" s="1">
        <v>1.5</v>
      </c>
      <c r="F6">
        <v>1</v>
      </c>
      <c r="G6" s="1">
        <f t="shared" si="0"/>
        <v>1.2</v>
      </c>
      <c r="H6" s="1">
        <f t="shared" si="1"/>
        <v>0.80000000000000004</v>
      </c>
      <c r="I6" s="1">
        <f t="shared" si="2"/>
        <v>1.5</v>
      </c>
    </row>
    <row r="7" ht="14.25">
      <c r="A7" t="s">
        <v>11</v>
      </c>
      <c r="B7" s="1">
        <v>2.3999999999999999</v>
      </c>
      <c r="C7" s="1">
        <v>1.3999999999999999</v>
      </c>
      <c r="D7" s="1">
        <v>2.3999999999999999</v>
      </c>
      <c r="F7">
        <v>2</v>
      </c>
      <c r="G7" s="1">
        <f t="shared" si="0"/>
        <v>4.7999999999999998</v>
      </c>
      <c r="H7" s="1">
        <f t="shared" si="1"/>
        <v>2.7999999999999998</v>
      </c>
      <c r="I7" s="1">
        <f t="shared" si="2"/>
        <v>4.7999999999999998</v>
      </c>
    </row>
    <row r="8" ht="14.25">
      <c r="A8" t="s">
        <v>12</v>
      </c>
      <c r="B8" s="1">
        <v>0.90000000000000002</v>
      </c>
      <c r="C8" s="1">
        <v>0.20000000000000001</v>
      </c>
      <c r="D8" s="1">
        <v>0.80000000000000004</v>
      </c>
      <c r="F8">
        <v>2</v>
      </c>
      <c r="G8" s="1">
        <f t="shared" si="0"/>
        <v>1.8</v>
      </c>
      <c r="H8" s="1">
        <f t="shared" si="1"/>
        <v>0.40000000000000002</v>
      </c>
      <c r="I8" s="1">
        <f t="shared" si="2"/>
        <v>1.6000000000000001</v>
      </c>
    </row>
    <row r="9" ht="14.25">
      <c r="A9" t="s">
        <v>13</v>
      </c>
      <c r="B9" s="1">
        <v>0.98999999999999999</v>
      </c>
      <c r="C9" s="1">
        <v>0.58999999999999997</v>
      </c>
      <c r="D9" s="1">
        <v>2.5899999999999999</v>
      </c>
      <c r="F9">
        <v>1</v>
      </c>
      <c r="G9" s="1">
        <f t="shared" si="0"/>
        <v>0.98999999999999999</v>
      </c>
      <c r="H9" s="1">
        <f t="shared" si="1"/>
        <v>0.58999999999999997</v>
      </c>
      <c r="I9" s="1">
        <f t="shared" si="2"/>
        <v>2.5899999999999999</v>
      </c>
    </row>
    <row r="10" ht="14.25">
      <c r="A10" t="s">
        <v>14</v>
      </c>
      <c r="B10" s="1">
        <v>1.25</v>
      </c>
      <c r="C10" s="1">
        <v>3.25</v>
      </c>
      <c r="D10" s="1">
        <v>2.1499999999999999</v>
      </c>
      <c r="F10">
        <v>4</v>
      </c>
      <c r="G10" s="1">
        <f t="shared" ref="G10:G17" si="3">F10*B10</f>
        <v>5</v>
      </c>
      <c r="H10" s="1">
        <f t="shared" ref="H10:H17" si="4">F10*C10</f>
        <v>13</v>
      </c>
      <c r="I10" s="1">
        <f t="shared" ref="I10:I17" si="5">F10*D10</f>
        <v>8.5999999999999996</v>
      </c>
    </row>
    <row r="11" ht="14.25">
      <c r="A11" t="s">
        <v>15</v>
      </c>
      <c r="B11" s="1">
        <v>9.5</v>
      </c>
      <c r="C11" s="1">
        <v>14</v>
      </c>
      <c r="D11" s="1">
        <v>13</v>
      </c>
      <c r="F11">
        <v>1</v>
      </c>
      <c r="G11" s="1">
        <f t="shared" si="3"/>
        <v>9.5</v>
      </c>
      <c r="H11" s="1">
        <f t="shared" si="4"/>
        <v>14</v>
      </c>
      <c r="I11" s="1">
        <f t="shared" si="5"/>
        <v>13</v>
      </c>
    </row>
    <row r="12" ht="14.25">
      <c r="A12" t="s">
        <v>16</v>
      </c>
      <c r="B12" s="1">
        <v>4.5499999999999998</v>
      </c>
      <c r="C12" s="1">
        <v>2.5499999999999998</v>
      </c>
      <c r="D12" s="1">
        <v>6</v>
      </c>
      <c r="F12">
        <v>1</v>
      </c>
      <c r="G12" s="1">
        <f t="shared" si="3"/>
        <v>4.5499999999999998</v>
      </c>
      <c r="H12" s="1">
        <f t="shared" si="4"/>
        <v>2.5499999999999998</v>
      </c>
      <c r="I12" s="1">
        <f t="shared" si="5"/>
        <v>6</v>
      </c>
    </row>
    <row r="13" ht="14.25">
      <c r="A13" t="s">
        <v>17</v>
      </c>
      <c r="B13" s="1">
        <v>4.2000000000000002</v>
      </c>
      <c r="C13" s="1">
        <v>2.2000000000000002</v>
      </c>
      <c r="D13" s="1">
        <v>3</v>
      </c>
      <c r="F13">
        <v>1</v>
      </c>
      <c r="G13" s="1">
        <f t="shared" si="3"/>
        <v>4.2000000000000002</v>
      </c>
      <c r="H13" s="1">
        <f t="shared" si="4"/>
        <v>2.2000000000000002</v>
      </c>
      <c r="I13" s="1">
        <f t="shared" si="5"/>
        <v>3</v>
      </c>
    </row>
    <row r="14" ht="14.25">
      <c r="A14" t="s">
        <v>18</v>
      </c>
      <c r="B14" s="1">
        <v>3.8999999999999999</v>
      </c>
      <c r="C14" s="1">
        <v>5</v>
      </c>
      <c r="D14" s="1">
        <v>8</v>
      </c>
      <c r="F14">
        <v>1</v>
      </c>
      <c r="G14" s="1">
        <f t="shared" si="3"/>
        <v>3.8999999999999999</v>
      </c>
      <c r="H14" s="1">
        <f t="shared" si="4"/>
        <v>5</v>
      </c>
      <c r="I14" s="1">
        <f t="shared" si="5"/>
        <v>8</v>
      </c>
    </row>
    <row r="15" ht="14.25">
      <c r="A15" t="s">
        <v>19</v>
      </c>
      <c r="B15" s="1">
        <v>1</v>
      </c>
      <c r="C15" s="1">
        <v>2</v>
      </c>
      <c r="D15" s="1">
        <v>1</v>
      </c>
      <c r="F15">
        <v>1</v>
      </c>
      <c r="G15" s="1">
        <f t="shared" si="3"/>
        <v>1</v>
      </c>
      <c r="H15" s="1">
        <f t="shared" si="4"/>
        <v>2</v>
      </c>
      <c r="I15" s="1">
        <f t="shared" si="5"/>
        <v>1</v>
      </c>
    </row>
    <row r="16" ht="14.25">
      <c r="A16" t="s">
        <v>20</v>
      </c>
      <c r="B16" s="1">
        <v>1.75</v>
      </c>
      <c r="C16" s="1">
        <v>2</v>
      </c>
      <c r="D16" s="1">
        <v>1</v>
      </c>
      <c r="F16">
        <v>1</v>
      </c>
      <c r="G16" s="1">
        <f t="shared" si="3"/>
        <v>1.75</v>
      </c>
      <c r="H16" s="1">
        <f t="shared" si="4"/>
        <v>2</v>
      </c>
      <c r="I16" s="1">
        <f t="shared" si="5"/>
        <v>1</v>
      </c>
    </row>
    <row r="17" ht="14.25">
      <c r="A17" t="s">
        <v>21</v>
      </c>
      <c r="B17" s="1">
        <v>2</v>
      </c>
      <c r="C17" s="1">
        <v>1</v>
      </c>
      <c r="D17" s="1">
        <v>3</v>
      </c>
      <c r="F17">
        <v>1</v>
      </c>
      <c r="G17" s="1">
        <f t="shared" si="3"/>
        <v>2</v>
      </c>
      <c r="H17" s="1">
        <f t="shared" si="4"/>
        <v>1</v>
      </c>
      <c r="I17" s="1">
        <f t="shared" si="5"/>
        <v>3</v>
      </c>
    </row>
    <row r="18" ht="14.25">
      <c r="G18" s="1"/>
      <c r="H18" s="1"/>
      <c r="I18" s="1"/>
    </row>
    <row r="19" ht="14.25">
      <c r="F19" t="s">
        <v>22</v>
      </c>
      <c r="G19" s="1">
        <f>SUM(G3:G17)</f>
        <v>82.790000000000006</v>
      </c>
      <c r="H19" s="1">
        <f>SUM(H3:H17)</f>
        <v>87.539999999999992</v>
      </c>
      <c r="I19" s="1">
        <f>SUM(I3:I17)</f>
        <v>103.28999999999999</v>
      </c>
    </row>
    <row r="21" ht="14.25"/>
  </sheetData>
  <printOptions headings="0" gridLines="0"/>
  <pageMargins left="0.69999999999999996" right="0.69999999999999996" top="0.75" bottom="0.75" header="0.29999999999999999" footer="0.29999999999999999"/>
  <pageSetup paperSize="1" scale="100" fitToWidth="1" fitToHeight="1" pageOrder="downThenOver" orientation="portrait" usePrinterDefaults="1" blackAndWhite="0" draft="0" cellComments="none" useFirstPageNumber="0" errors="displayed" horizontalDpi="600" verticalDpi="0" copies="1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A1" activeCellId="0" sqref="A1"/>
    </sheetView>
  </sheetViews>
  <sheetFormatPr defaultRowHeight="14.25"/>
  <cols>
    <col bestFit="1" min="1" max="1" width="13.57421875"/>
  </cols>
  <sheetData>
    <row r="2" ht="14.25">
      <c r="B2" t="s">
        <v>23</v>
      </c>
      <c r="C2" t="s">
        <v>24</v>
      </c>
    </row>
    <row r="3" ht="14.25">
      <c r="A3" s="3" t="s">
        <v>25</v>
      </c>
      <c r="B3" s="3"/>
      <c r="C3" s="3"/>
    </row>
    <row r="4" ht="14.25">
      <c r="A4" s="3" t="s">
        <v>26</v>
      </c>
      <c r="B4" s="4">
        <v>50</v>
      </c>
      <c r="C4" s="4">
        <v>90</v>
      </c>
    </row>
    <row r="5" ht="14.25">
      <c r="A5" s="3" t="s">
        <v>27</v>
      </c>
      <c r="B5" s="4">
        <v>2.5</v>
      </c>
      <c r="C5" s="4">
        <v>2</v>
      </c>
    </row>
    <row r="6" ht="14.25">
      <c r="A6" s="3" t="s">
        <v>28</v>
      </c>
      <c r="B6" s="4">
        <v>5.5</v>
      </c>
      <c r="C6" s="4">
        <v>4.5</v>
      </c>
    </row>
    <row r="7" ht="14.25">
      <c r="A7" s="3" t="s">
        <v>29</v>
      </c>
      <c r="B7" s="4">
        <v>7</v>
      </c>
      <c r="C7" s="4">
        <v>7</v>
      </c>
    </row>
    <row r="8" ht="14.25">
      <c r="A8" s="3" t="s">
        <v>30</v>
      </c>
      <c r="B8" s="4">
        <v>3</v>
      </c>
      <c r="C8" s="4">
        <v>0</v>
      </c>
    </row>
    <row r="9" ht="14.25">
      <c r="A9" s="3" t="s">
        <v>31</v>
      </c>
      <c r="B9" s="4">
        <f>SUM(B4:B8)</f>
        <v>68</v>
      </c>
      <c r="C9" s="4">
        <f>SUM(C4:C8)</f>
        <v>103.5</v>
      </c>
    </row>
    <row r="10" ht="14.25">
      <c r="B10" s="1"/>
      <c r="C10" s="1"/>
    </row>
    <row r="11" ht="14.25">
      <c r="A11" s="5" t="s">
        <v>32</v>
      </c>
      <c r="B11" s="6"/>
      <c r="C11" s="6"/>
    </row>
    <row r="12" ht="14.25">
      <c r="A12" s="5" t="s">
        <v>33</v>
      </c>
      <c r="B12" s="6">
        <v>21</v>
      </c>
      <c r="C12" s="6">
        <v>11</v>
      </c>
    </row>
    <row r="13" ht="14.25">
      <c r="A13" s="5" t="s">
        <v>34</v>
      </c>
      <c r="B13" s="6"/>
      <c r="C13" s="6">
        <v>8</v>
      </c>
    </row>
    <row r="14" ht="14.25">
      <c r="A14" s="5" t="s">
        <v>35</v>
      </c>
      <c r="B14" s="6">
        <v>3</v>
      </c>
      <c r="C14" s="6"/>
    </row>
    <row r="15" ht="14.25">
      <c r="A15" s="5" t="s">
        <v>36</v>
      </c>
      <c r="B15" s="6">
        <f>SUM(B12:B14)</f>
        <v>24</v>
      </c>
      <c r="C15" s="6">
        <f>SUM(C12:C14)</f>
        <v>19</v>
      </c>
    </row>
    <row r="16" ht="14.25">
      <c r="A16" s="5" t="s">
        <v>37</v>
      </c>
      <c r="B16" s="6">
        <f>B15*2</f>
        <v>48</v>
      </c>
      <c r="C16" s="6">
        <f>C15*2</f>
        <v>38</v>
      </c>
    </row>
    <row r="17" ht="14.25">
      <c r="B17" t="s">
        <v>23</v>
      </c>
      <c r="C17" t="s">
        <v>24</v>
      </c>
    </row>
    <row r="18" ht="14.25">
      <c r="A18" s="7" t="s">
        <v>38</v>
      </c>
      <c r="B18" s="8">
        <f>B16*12+B9</f>
        <v>644</v>
      </c>
      <c r="C18" s="8">
        <f>C16*12+C9</f>
        <v>559.5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A1" activeCellId="0" sqref="A1"/>
    </sheetView>
  </sheetViews>
  <sheetFormatPr defaultRowHeight="14.25"/>
  <cols>
    <col bestFit="1" min="1" max="1" width="26.00390625"/>
    <col bestFit="1" min="2" max="2" width="15.57421875"/>
    <col bestFit="1" min="3" max="3" width="18.28125"/>
    <col bestFit="1" min="4" max="4" width="11.8515625"/>
  </cols>
  <sheetData>
    <row r="1" ht="14.25">
      <c r="A1" t="s">
        <v>3</v>
      </c>
      <c r="B1" t="s">
        <v>39</v>
      </c>
      <c r="C1" t="s">
        <v>40</v>
      </c>
      <c r="D1" t="s">
        <v>41</v>
      </c>
    </row>
    <row r="5" ht="14.25">
      <c r="A5" s="5" t="s">
        <v>42</v>
      </c>
      <c r="B5" s="5"/>
      <c r="C5" s="5"/>
      <c r="D5" s="5"/>
    </row>
    <row r="6" ht="14.25">
      <c r="A6" s="5" t="s">
        <v>43</v>
      </c>
      <c r="B6" s="6">
        <v>280</v>
      </c>
      <c r="C6" s="6">
        <v>100</v>
      </c>
      <c r="D6" s="6">
        <v>350</v>
      </c>
    </row>
    <row r="7" ht="14.25">
      <c r="A7" s="5" t="s">
        <v>44</v>
      </c>
      <c r="B7" s="6">
        <v>18</v>
      </c>
      <c r="C7" s="6">
        <v>0</v>
      </c>
      <c r="D7" s="6">
        <v>0</v>
      </c>
    </row>
    <row r="8" ht="14.25">
      <c r="A8" s="5" t="s">
        <v>45</v>
      </c>
      <c r="B8" s="6">
        <v>25</v>
      </c>
      <c r="C8" s="6">
        <v>0</v>
      </c>
      <c r="D8" s="6">
        <v>0</v>
      </c>
    </row>
    <row r="9" ht="14.25">
      <c r="A9" s="5" t="s">
        <v>46</v>
      </c>
      <c r="B9" s="6">
        <v>15</v>
      </c>
      <c r="C9" s="6">
        <v>0</v>
      </c>
      <c r="D9" s="6">
        <v>0</v>
      </c>
    </row>
    <row r="10" ht="14.25">
      <c r="A10" s="5" t="s">
        <v>47</v>
      </c>
      <c r="B10" s="6">
        <v>9</v>
      </c>
      <c r="C10" s="6">
        <v>0</v>
      </c>
      <c r="D10" s="6">
        <v>0</v>
      </c>
    </row>
    <row r="11" ht="14.25">
      <c r="A11" s="5" t="s">
        <v>48</v>
      </c>
      <c r="B11" s="6">
        <v>0</v>
      </c>
      <c r="C11" s="6">
        <v>99</v>
      </c>
      <c r="D11" s="6">
        <v>0</v>
      </c>
    </row>
    <row r="12" ht="14.25">
      <c r="A12" s="5" t="s">
        <v>49</v>
      </c>
      <c r="B12" s="6">
        <v>0</v>
      </c>
      <c r="C12" s="6">
        <v>95</v>
      </c>
      <c r="D12" s="6">
        <v>0</v>
      </c>
    </row>
    <row r="13" ht="14.25">
      <c r="A13" s="5" t="s">
        <v>50</v>
      </c>
      <c r="B13" s="6">
        <v>0</v>
      </c>
      <c r="C13" s="6">
        <v>85</v>
      </c>
      <c r="D13" s="6">
        <v>0</v>
      </c>
    </row>
    <row r="14" ht="14.25">
      <c r="A14" s="5" t="s">
        <v>51</v>
      </c>
      <c r="B14" s="6">
        <v>0</v>
      </c>
      <c r="C14" s="6">
        <v>85</v>
      </c>
      <c r="D14" s="6">
        <v>0</v>
      </c>
    </row>
    <row r="15" ht="14.25">
      <c r="A15" s="5" t="s">
        <v>52</v>
      </c>
      <c r="B15" s="6">
        <v>0</v>
      </c>
      <c r="C15" s="6">
        <v>0</v>
      </c>
      <c r="D15" s="6">
        <v>555</v>
      </c>
    </row>
    <row r="16" ht="14.25">
      <c r="A16" s="5" t="s">
        <v>33</v>
      </c>
      <c r="B16" s="6">
        <v>50</v>
      </c>
      <c r="C16" s="6">
        <v>50</v>
      </c>
      <c r="D16" s="6">
        <v>0</v>
      </c>
    </row>
    <row r="17" ht="14.25">
      <c r="A17" s="7" t="s">
        <v>53</v>
      </c>
      <c r="B17" s="8">
        <f>SUM(B6:B16)</f>
        <v>397</v>
      </c>
      <c r="C17" s="8">
        <f>SUM(C6:C16)</f>
        <v>514</v>
      </c>
      <c r="D17" s="8">
        <f>SUM(D6:D16)</f>
        <v>905</v>
      </c>
    </row>
    <row r="18" ht="14.25">
      <c r="A18" s="7" t="s">
        <v>54</v>
      </c>
      <c r="B18" s="7">
        <v>2</v>
      </c>
      <c r="C18" s="7">
        <v>2</v>
      </c>
      <c r="D18" s="7">
        <v>2</v>
      </c>
    </row>
    <row r="19" ht="14.25">
      <c r="A19" s="7" t="s">
        <v>55</v>
      </c>
      <c r="B19" s="8">
        <f>B17*B18</f>
        <v>794</v>
      </c>
      <c r="C19" s="8">
        <f>C17*C18</f>
        <v>1028</v>
      </c>
      <c r="D19" s="8">
        <f>D17*D18</f>
        <v>1810</v>
      </c>
    </row>
    <row r="21" ht="14.25">
      <c r="A21" s="9" t="s">
        <v>56</v>
      </c>
      <c r="B21" s="10">
        <v>40</v>
      </c>
      <c r="C21" s="10">
        <v>0</v>
      </c>
      <c r="D21" s="9"/>
    </row>
    <row r="22" ht="14.25">
      <c r="B22" s="1"/>
      <c r="C22" s="1"/>
    </row>
    <row r="23" ht="14.25">
      <c r="A23" s="11" t="s">
        <v>57</v>
      </c>
      <c r="B23" s="12"/>
      <c r="C23" s="12"/>
      <c r="D23" s="11"/>
    </row>
    <row r="24" ht="14.25">
      <c r="A24" s="11" t="s">
        <v>58</v>
      </c>
      <c r="B24" s="12">
        <v>120</v>
      </c>
      <c r="C24" s="12">
        <v>105</v>
      </c>
      <c r="D24" s="11"/>
    </row>
    <row r="25" ht="14.25">
      <c r="A25" s="13" t="s">
        <v>59</v>
      </c>
      <c r="B25" s="12">
        <v>5</v>
      </c>
      <c r="C25" s="12">
        <v>5</v>
      </c>
      <c r="D25" s="11"/>
    </row>
    <row r="26" ht="14.25">
      <c r="A26" s="13" t="s">
        <v>60</v>
      </c>
      <c r="B26" s="12">
        <f>B25*B24</f>
        <v>600</v>
      </c>
      <c r="C26" s="12">
        <f>C25*C24</f>
        <v>525</v>
      </c>
      <c r="D26" s="11"/>
    </row>
    <row r="27" ht="14.25">
      <c r="A27" s="14"/>
    </row>
    <row r="28" ht="14.25">
      <c r="A28" s="14" t="s">
        <v>22</v>
      </c>
      <c r="B28" s="1">
        <f>B26+B21+B19</f>
        <v>1434</v>
      </c>
      <c r="C28" s="1">
        <f>C26+C21+C19</f>
        <v>1553</v>
      </c>
      <c r="D28" s="1">
        <f>D26+D21+D19</f>
        <v>1810</v>
      </c>
    </row>
    <row r="29" ht="14.25">
      <c r="A29" s="14"/>
    </row>
    <row r="30" ht="14.25">
      <c r="A30" s="14"/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ONLYOFFICE/8.3.3.21</Application>
  <DocSecurity>0</DocSecurity>
  <ScaleCrop>0</ScaleCrop>
  <HeadingPairs>
    <vt:vector size="0" baseType="variant"/>
  </HeadingPairs>
  <TitlesOfParts>
    <vt:vector size="0" baseType="lpstr"/>
  </TitlesOfParts>
  <Company/>
  <LinksUpToDate>0</LinksUpToDate>
  <SharedDoc>0</SharedDoc>
  <HyperlinksChanged>0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revision>2</cp:revision>
  <dcterms:modified xsi:type="dcterms:W3CDTF">2025-06-02T19:47:43Z</dcterms:modified>
</cp:coreProperties>
</file>