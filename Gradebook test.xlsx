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theme/theme1.xml" ContentType="application/vnd.openxmlformats-officedocument.theme+xml"/>
  <Override PartName="/xl/workbook.xml" ContentType="application/vnd.openxmlformats-officedocument.spreadsheetml.sheet.main+xml"/>
  <Override PartName="/xl/charts/colors3.xml" ContentType="application/vnd.ms-office.chartcolorstyle+xml"/>
  <Override PartName="/xl/sharedStrings.xml" ContentType="application/vnd.openxmlformats-officedocument.spreadsheetml.sharedStrings+xml"/>
  <Override PartName="/xl/charts/style3.xml" ContentType="application/vnd.ms-office.chartstyle+xml"/>
  <Override PartName="/xl/charts/chart3.xml" ContentType="application/vnd.openxmlformats-officedocument.drawingml.chart+xml"/>
  <Override PartName="/xl/charts/colors2.xml" ContentType="application/vnd.ms-office.chartcolorstyle+xml"/>
  <Override PartName="/xl/charts/chart2.xml" ContentType="application/vnd.openxmlformats-officedocument.drawingml.chart+xml"/>
  <Override PartName="/xl/charts/colors1.xml" ContentType="application/vnd.ms-office.chartcolorstyle+xml"/>
  <Override PartName="/xl/styles.xml" ContentType="application/vnd.openxmlformats-officedocument.spreadsheetml.styles+xml"/>
  <Override PartName="/docProps/core.xml" ContentType="application/vnd.openxmlformats-package.core-properties+xml"/>
  <Override PartName="/xl/charts/style1.xml" ContentType="application/vnd.ms-office.chartstyle+xml"/>
  <Override PartName="/xl/charts/chart1.xml" ContentType="application/vnd.openxmlformats-officedocument.drawingml.chart+xml"/>
  <Override PartName="/xl/charts/style2.xml" ContentType="application/vnd.ms-office.chartstyle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Gradebook Test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<sst xmlns="http://schemas.openxmlformats.org/spreadsheetml/2006/main" count="46" uniqueCount="46">
  <si>
    <t>Gradebook</t>
  </si>
  <si>
    <t xml:space="preserve">Safety test</t>
  </si>
  <si>
    <t xml:space="preserve">Company philosophy text</t>
  </si>
  <si>
    <t xml:space="preserve">Financial skills test</t>
  </si>
  <si>
    <t xml:space="preserve">Drug test</t>
  </si>
  <si>
    <t xml:space="preserve">Fire Employee?</t>
  </si>
  <si>
    <t xml:space="preserve">Points possible</t>
  </si>
  <si>
    <t xml:space="preserve">Last name</t>
  </si>
  <si>
    <t xml:space="preserve">First name</t>
  </si>
  <si>
    <t>Kern</t>
  </si>
  <si>
    <t>Jon</t>
  </si>
  <si>
    <t>Howard</t>
  </si>
  <si>
    <t>Glenda</t>
  </si>
  <si>
    <t>Donnald</t>
  </si>
  <si>
    <t>Ron</t>
  </si>
  <si>
    <t>Herndandez</t>
  </si>
  <si>
    <t>Wendy</t>
  </si>
  <si>
    <t>Smith</t>
  </si>
  <si>
    <t>Paul</t>
  </si>
  <si>
    <t>Baker</t>
  </si>
  <si>
    <t>Tom</t>
  </si>
  <si>
    <t>Velinda</t>
  </si>
  <si>
    <t>Nancy</t>
  </si>
  <si>
    <t>Carnan</t>
  </si>
  <si>
    <t>Karen</t>
  </si>
  <si>
    <t>Westfield</t>
  </si>
  <si>
    <t>Dennis</t>
  </si>
  <si>
    <t>Penfold</t>
  </si>
  <si>
    <t>Sandy</t>
  </si>
  <si>
    <t>Isinton</t>
  </si>
  <si>
    <t>Linda</t>
  </si>
  <si>
    <t>Young</t>
  </si>
  <si>
    <t>Olivia</t>
  </si>
  <si>
    <t>Trenton</t>
  </si>
  <si>
    <t>Blessing</t>
  </si>
  <si>
    <t>Heart</t>
  </si>
  <si>
    <t>Chandra</t>
  </si>
  <si>
    <t>Norman</t>
  </si>
  <si>
    <t>Bill</t>
  </si>
  <si>
    <t>Mann</t>
  </si>
  <si>
    <t>Trent</t>
  </si>
  <si>
    <t>Underhill</t>
  </si>
  <si>
    <t>Genesis</t>
  </si>
  <si>
    <t>Max</t>
  </si>
  <si>
    <t>Min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</si>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</sst>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2">
    <xf fontId="0" fillId="0" borderId="0" numFmtId="0" applyNumberFormat="1" applyFont="1" applyFill="1" applyBorder="1"/>
    <xf fontId="0" fillId="2" borderId="0" numFmtId="9" applyNumberFormat="1" applyFont="0" applyFill="0" applyBorder="0"/>
  </cellStyleXfs>
  <cellXfs count="6">
    <xf fontId="0" fillId="0" borderId="0" numFmtId="0" xfId="0"/>
    <xf fontId="0" fillId="0" borderId="0" numFmtId="0" xfId="0" applyAlignment="1">
      <alignment textRotation="90"/>
    </xf>
    <xf fontId="0" fillId="0" borderId="0" numFmtId="0" xfId="0" applyAlignment="1">
      <alignment textRotation="90"/>
    </xf>
    <xf fontId="0" fillId="0" borderId="0" numFmtId="9" xfId="1" applyNumberFormat="1"/>
    <xf fontId="0" fillId="0" borderId="0" numFmtId="9" xfId="0" applyNumberFormat="1"/>
    <xf fontId="0" fillId="0" borderId="0" numFmtId="9" xfId="1" applyNumberFormat="1">
      <protection hidden="0" locked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_rels/chart2.xml.rels><?xml version="1.0" encoding="UTF-8" standalone="yes"?><Relationships xmlns="http://schemas.openxmlformats.org/package/2006/relationships"><Relationship Id="rId1" Type="http://schemas.microsoft.com/office/2011/relationships/chartStyle" Target="style2.xml" /><Relationship Id="rId2" Type="http://schemas.microsoft.com/office/2011/relationships/chartColorStyle" Target="colors2.xml" /></Relationships>
</file>

<file path=xl/charts/_rels/chart3.xml.rels><?xml version="1.0" encoding="UTF-8" standalone="yes"?><Relationships xmlns="http://schemas.openxmlformats.org/package/2006/relationships"><Relationship Id="rId1" Type="http://schemas.microsoft.com/office/2011/relationships/chartStyle" Target="style3.xml" /><Relationship Id="rId2" Type="http://schemas.microsoft.com/office/2011/relationships/chartColorStyle" Target="colors3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Safety Test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'Gradebook Test'!$C$4:$C$20</c:f>
            </c:numRef>
          </c:val>
        </c:ser>
        <c:gapWidth val="219"/>
        <c:overlap val="-26"/>
        <c:axId val="1866169475"/>
        <c:axId val="1866169476"/>
      </c:barChart>
      <c:catAx>
        <c:axId val="1866169475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76"/>
        <c:crosses val="autoZero"/>
        <c:auto val="1"/>
        <c:lblAlgn val="ctr"/>
        <c:lblOffset val="100"/>
        <c:noMultiLvlLbl val="0"/>
      </c:catAx>
      <c:valAx>
        <c:axId val="1866169476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75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9029699" y="1904999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Philosophy Test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'Gradebook Test'!$D$4:$D$20</c:f>
            </c:numRef>
          </c:val>
        </c:ser>
        <c:gapWidth val="219"/>
        <c:overlap val="-26"/>
        <c:axId val="1866169481"/>
        <c:axId val="1866169482"/>
      </c:barChart>
      <c:catAx>
        <c:axId val="1866169481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82"/>
        <c:crosses val="autoZero"/>
        <c:auto val="1"/>
        <c:lblAlgn val="ctr"/>
        <c:lblOffset val="100"/>
        <c:noMultiLvlLbl val="0"/>
      </c:catAx>
      <c:valAx>
        <c:axId val="1866169482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81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8982074" y="48672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 sz="1400" b="0" spc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/>
              <a:t>Financial Skills Test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barChart>
        <c:barDir val="col"/>
        <c:grouping val="clustered"/>
        <c:varyColors val="0"/>
        <c:ser>
          <c:idx val="0"/>
          <c:order val="0"/>
          <c:spPr bwMode="auto">
            <a:prstGeom prst="rect">
              <a:avLst/>
            </a:prstGeom>
            <a:solidFill>
              <a:schemeClr val="accent1"/>
            </a:solidFill>
            <a:ln>
              <a:noFill/>
            </a:ln>
          </c:spPr>
          <c:invertIfNegative val="0"/>
          <c:val>
            <c:numRef>
              <c:f>'Gradebook Test'!$E$4:$E$20</c:f>
            </c:numRef>
          </c:val>
        </c:ser>
        <c:gapWidth val="219"/>
        <c:overlap val="-26"/>
        <c:axId val="1866169487"/>
        <c:axId val="1866169488"/>
      </c:barChart>
      <c:catAx>
        <c:axId val="1866169487"/>
        <c:scaling>
          <c:orientation val="minMax"/>
        </c:scaling>
        <c:delete val="0"/>
        <c:axPos val="b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88"/>
        <c:crosses val="autoZero"/>
        <c:auto val="1"/>
        <c:lblAlgn val="ctr"/>
        <c:lblOffset val="100"/>
        <c:noMultiLvlLbl val="0"/>
      </c:catAx>
      <c:valAx>
        <c:axId val="1866169488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Calibri"/>
                <a:ea typeface="Arial"/>
                <a:cs typeface="Arial"/>
              </a:defRPr>
            </a:pPr>
            <a:endParaRPr/>
          </a:p>
        </c:txPr>
        <c:crossAx val="1866169487"/>
        <c:crosses val="autoZero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9029699" y="7762874"/>
      <a:ext cx="4552949" cy="2724149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Relationship Id="rId3" Type="http://schemas.openxmlformats.org/officeDocument/2006/relationships/chart" Target="../charts/chart3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14</xdr:col>
      <xdr:colOff>28574</xdr:colOff>
      <xdr:row>3</xdr:row>
      <xdr:rowOff>47624</xdr:rowOff>
    </xdr:from>
    <xdr:to>
      <xdr:col>21</xdr:col>
      <xdr:colOff>314324</xdr:colOff>
      <xdr:row>18</xdr:row>
      <xdr:rowOff>57149</xdr:rowOff>
    </xdr:to>
    <xdr:graphicFrame>
      <xdr:nvGraphicFramePr>
        <xdr:cNvPr id="1516380100" name=""/>
        <xdr:cNvGraphicFramePr>
          <a:graphicFrameLocks xmlns:a="http://schemas.openxmlformats.org/drawingml/2006/main"/>
        </xdr:cNvGraphicFramePr>
      </xdr:nvGraphicFramePr>
      <xdr:xfrm>
        <a:off x="9029699" y="1904999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13</xdr:col>
      <xdr:colOff>590549</xdr:colOff>
      <xdr:row>19</xdr:row>
      <xdr:rowOff>114299</xdr:rowOff>
    </xdr:from>
    <xdr:to>
      <xdr:col>21</xdr:col>
      <xdr:colOff>266699</xdr:colOff>
      <xdr:row>34</xdr:row>
      <xdr:rowOff>123824</xdr:rowOff>
    </xdr:to>
    <xdr:graphicFrame>
      <xdr:nvGraphicFramePr>
        <xdr:cNvPr id="1881330805" name=""/>
        <xdr:cNvGraphicFramePr>
          <a:graphicFrameLocks xmlns:a="http://schemas.openxmlformats.org/drawingml/2006/main"/>
        </xdr:cNvGraphicFramePr>
      </xdr:nvGraphicFramePr>
      <xdr:xfrm>
        <a:off x="8982074" y="48672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twoCell">
    <xdr:from>
      <xdr:col>14</xdr:col>
      <xdr:colOff>28574</xdr:colOff>
      <xdr:row>35</xdr:row>
      <xdr:rowOff>114299</xdr:rowOff>
    </xdr:from>
    <xdr:to>
      <xdr:col>21</xdr:col>
      <xdr:colOff>314324</xdr:colOff>
      <xdr:row>50</xdr:row>
      <xdr:rowOff>123824</xdr:rowOff>
    </xdr:to>
    <xdr:graphicFrame>
      <xdr:nvGraphicFramePr>
        <xdr:cNvPr id="2058549932" name=""/>
        <xdr:cNvGraphicFramePr>
          <a:graphicFrameLocks xmlns:a="http://schemas.openxmlformats.org/drawingml/2006/main"/>
        </xdr:cNvGraphicFramePr>
      </xdr:nvGraphicFramePr>
      <xdr:xfrm>
        <a:off x="9029699" y="7762874"/>
        <a:ext cx="4552949" cy="2724149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width="11.7109375"/>
    <col customWidth="1" min="2" max="2" width="13.57421875"/>
  </cols>
  <sheetData>
    <row r="1" ht="117.75">
      <c r="A1" t="s">
        <v>0</v>
      </c>
      <c r="C1" s="1" t="s">
        <v>1</v>
      </c>
      <c r="D1" s="1" t="s">
        <v>2</v>
      </c>
      <c r="E1" s="1" t="s">
        <v>3</v>
      </c>
      <c r="F1" s="2" t="s">
        <v>4</v>
      </c>
      <c r="H1" s="1" t="s">
        <v>1</v>
      </c>
      <c r="I1" s="1" t="s">
        <v>2</v>
      </c>
      <c r="J1" s="1" t="s">
        <v>3</v>
      </c>
      <c r="K1" s="1" t="s">
        <v>4</v>
      </c>
      <c r="M1" s="1" t="s">
        <v>5</v>
      </c>
    </row>
    <row r="2" ht="14.25">
      <c r="B2" t="s">
        <v>6</v>
      </c>
      <c r="C2">
        <v>10</v>
      </c>
      <c r="D2">
        <v>20</v>
      </c>
      <c r="E2">
        <v>100</v>
      </c>
      <c r="F2">
        <v>1</v>
      </c>
    </row>
    <row r="3" ht="14.25">
      <c r="A3" t="s">
        <v>7</v>
      </c>
      <c r="B3" t="s">
        <v>8</v>
      </c>
    </row>
    <row r="4" ht="14.25">
      <c r="A4" t="s">
        <v>9</v>
      </c>
      <c r="B4" t="s">
        <v>10</v>
      </c>
      <c r="C4">
        <v>10</v>
      </c>
      <c r="D4">
        <v>19</v>
      </c>
      <c r="E4">
        <v>93</v>
      </c>
      <c r="F4">
        <v>1</v>
      </c>
      <c r="H4" s="3">
        <f>C4/C$2</f>
        <v>1</v>
      </c>
      <c r="I4" s="3">
        <f>D4/D$2</f>
        <v>0.94999999999999996</v>
      </c>
      <c r="J4" s="3">
        <f>E4/E$2</f>
        <v>0.93000000000000005</v>
      </c>
      <c r="K4" s="3">
        <f>F4/F$2</f>
        <v>1</v>
      </c>
      <c r="M4" s="4" t="b">
        <f>OR(H4&lt;0.5,I4&lt;0.5,J4&lt;0.5,K4&lt;0.5)</f>
        <v>0</v>
      </c>
    </row>
    <row r="5" ht="14.25">
      <c r="A5" t="s">
        <v>11</v>
      </c>
      <c r="B5" t="s">
        <v>12</v>
      </c>
      <c r="C5">
        <v>9</v>
      </c>
      <c r="D5">
        <v>20</v>
      </c>
      <c r="E5">
        <v>100</v>
      </c>
      <c r="F5">
        <v>1</v>
      </c>
      <c r="H5" s="3">
        <f>C5/C$2</f>
        <v>0.90000000000000002</v>
      </c>
      <c r="I5" s="3">
        <f>D5/D$2</f>
        <v>1</v>
      </c>
      <c r="J5" s="3">
        <f>E5/E$2</f>
        <v>1</v>
      </c>
      <c r="K5" s="3">
        <f>F5/F$2</f>
        <v>1</v>
      </c>
      <c r="M5" s="4" t="b">
        <f>OR(H5&lt;0.5,I5&lt;0.5,J5&lt;0.5,K5&lt;0.5)</f>
        <v>0</v>
      </c>
    </row>
    <row r="6" ht="14.25">
      <c r="A6" t="s">
        <v>13</v>
      </c>
      <c r="B6" t="s">
        <v>14</v>
      </c>
      <c r="C6">
        <v>8</v>
      </c>
      <c r="D6">
        <v>17</v>
      </c>
      <c r="E6">
        <v>82</v>
      </c>
      <c r="F6">
        <v>1</v>
      </c>
      <c r="H6" s="3">
        <f>C6/C$2</f>
        <v>0.80000000000000004</v>
      </c>
      <c r="I6" s="3">
        <f>D6/D$2</f>
        <v>0.84999999999999998</v>
      </c>
      <c r="J6" s="3">
        <f>E6/E$2</f>
        <v>0.81999999999999995</v>
      </c>
      <c r="K6" s="3">
        <f>F6/F$2</f>
        <v>1</v>
      </c>
      <c r="M6" s="4" t="b">
        <f>OR(H6&lt;0.5,I6&lt;0.5,J6&lt;0.5,K6&lt;0.5)</f>
        <v>0</v>
      </c>
    </row>
    <row r="7" ht="14.25">
      <c r="A7" t="s">
        <v>15</v>
      </c>
      <c r="B7" t="s">
        <v>16</v>
      </c>
      <c r="C7">
        <v>9</v>
      </c>
      <c r="D7">
        <v>10</v>
      </c>
      <c r="E7">
        <v>73</v>
      </c>
      <c r="F7">
        <v>1</v>
      </c>
      <c r="H7" s="3">
        <f>C7/C$2</f>
        <v>0.90000000000000002</v>
      </c>
      <c r="I7" s="3">
        <f>D7/D$2</f>
        <v>0.5</v>
      </c>
      <c r="J7" s="3">
        <f>E7/E$2</f>
        <v>0.72999999999999998</v>
      </c>
      <c r="K7" s="3">
        <f>F7/F$2</f>
        <v>1</v>
      </c>
      <c r="M7" s="4" t="b">
        <f>OR(H7&lt;0.5,I7&lt;0.5,J7&lt;0.5,K7&lt;0.5)</f>
        <v>0</v>
      </c>
    </row>
    <row r="8" ht="14.25">
      <c r="A8" t="s">
        <v>17</v>
      </c>
      <c r="B8" t="s">
        <v>18</v>
      </c>
      <c r="C8">
        <v>10</v>
      </c>
      <c r="D8">
        <v>20</v>
      </c>
      <c r="E8">
        <v>59</v>
      </c>
      <c r="F8">
        <v>1</v>
      </c>
      <c r="H8" s="3">
        <f>C8/C$2</f>
        <v>1</v>
      </c>
      <c r="I8" s="3">
        <f>D8/D$2</f>
        <v>1</v>
      </c>
      <c r="J8" s="3">
        <f>E8/E$2</f>
        <v>0.58999999999999997</v>
      </c>
      <c r="K8" s="3">
        <f>F8/F$2</f>
        <v>1</v>
      </c>
      <c r="M8" s="4" t="b">
        <f>OR(H8&lt;0.5,I8&lt;0.5,J8&lt;0.5,K8&lt;0.5)</f>
        <v>0</v>
      </c>
    </row>
    <row r="9" ht="14.25">
      <c r="A9" t="s">
        <v>19</v>
      </c>
      <c r="B9" t="s">
        <v>20</v>
      </c>
      <c r="C9">
        <v>9</v>
      </c>
      <c r="D9">
        <v>17</v>
      </c>
      <c r="E9">
        <v>100</v>
      </c>
      <c r="F9">
        <v>1</v>
      </c>
      <c r="H9" s="3">
        <f>C9/C$2</f>
        <v>0.90000000000000002</v>
      </c>
      <c r="I9" s="3">
        <f>D9/D$2</f>
        <v>0.84999999999999998</v>
      </c>
      <c r="J9" s="3">
        <f>E9/E$2</f>
        <v>1</v>
      </c>
      <c r="K9" s="3">
        <f>F9/F$2</f>
        <v>1</v>
      </c>
      <c r="M9" s="4" t="b">
        <f>OR(H9&lt;0.5,I9&lt;0.5,J9&lt;0.5,K9&lt;0.5)</f>
        <v>0</v>
      </c>
    </row>
    <row r="10" ht="14.25">
      <c r="A10" t="s">
        <v>21</v>
      </c>
      <c r="B10" t="s">
        <v>22</v>
      </c>
      <c r="C10">
        <v>8</v>
      </c>
      <c r="D10">
        <v>20</v>
      </c>
      <c r="E10">
        <v>100</v>
      </c>
      <c r="F10">
        <v>0</v>
      </c>
      <c r="H10" s="3">
        <f>C10/C$2</f>
        <v>0.80000000000000004</v>
      </c>
      <c r="I10" s="3">
        <f>D10/D$2</f>
        <v>1</v>
      </c>
      <c r="J10" s="3">
        <f>E10/E$2</f>
        <v>1</v>
      </c>
      <c r="K10" s="3">
        <f>F10/F$2</f>
        <v>0</v>
      </c>
      <c r="M10" s="4" t="b">
        <f>OR(H10&lt;0.5,I10&lt;0.5,J10&lt;0.5,K10&lt;0.5)</f>
        <v>1</v>
      </c>
    </row>
    <row r="11" ht="14.25">
      <c r="A11" t="s">
        <v>23</v>
      </c>
      <c r="B11" t="s">
        <v>24</v>
      </c>
      <c r="C11">
        <v>5</v>
      </c>
      <c r="D11">
        <v>6</v>
      </c>
      <c r="E11">
        <v>100</v>
      </c>
      <c r="F11">
        <v>1</v>
      </c>
      <c r="H11" s="3">
        <f>C11/C$2</f>
        <v>0.5</v>
      </c>
      <c r="I11" s="3">
        <f>D11/D$2</f>
        <v>0.29999999999999999</v>
      </c>
      <c r="J11" s="3">
        <f>E11/E$2</f>
        <v>1</v>
      </c>
      <c r="K11" s="3">
        <f>F11/F$2</f>
        <v>1</v>
      </c>
      <c r="M11" s="4" t="b">
        <f>OR(H11&lt;0.5,I11&lt;0.5,J11&lt;0.5,K11&lt;0.5)</f>
        <v>1</v>
      </c>
    </row>
    <row r="12" ht="14.25">
      <c r="A12" t="s">
        <v>25</v>
      </c>
      <c r="B12" t="s">
        <v>26</v>
      </c>
      <c r="C12">
        <v>10</v>
      </c>
      <c r="D12">
        <v>20</v>
      </c>
      <c r="E12">
        <v>67</v>
      </c>
      <c r="F12">
        <v>1</v>
      </c>
      <c r="H12" s="3">
        <f>C12/C$2</f>
        <v>1</v>
      </c>
      <c r="I12" s="3">
        <f>D12/D$2</f>
        <v>1</v>
      </c>
      <c r="J12" s="3">
        <f>E12/E$2</f>
        <v>0.67000000000000004</v>
      </c>
      <c r="K12" s="3">
        <f>F12/F$2</f>
        <v>1</v>
      </c>
      <c r="M12" s="4" t="b">
        <f>OR(H12&lt;0.5,I12&lt;0.5,J12&lt;0.5,K12&lt;0.5)</f>
        <v>0</v>
      </c>
    </row>
    <row r="13" ht="14.25">
      <c r="A13" t="s">
        <v>27</v>
      </c>
      <c r="B13" t="s">
        <v>28</v>
      </c>
      <c r="C13">
        <v>9</v>
      </c>
      <c r="D13">
        <v>20</v>
      </c>
      <c r="E13">
        <v>70</v>
      </c>
      <c r="F13">
        <v>1</v>
      </c>
      <c r="H13" s="3">
        <f>C13/C$2</f>
        <v>0.90000000000000002</v>
      </c>
      <c r="I13" s="3">
        <f>D13/D$2</f>
        <v>1</v>
      </c>
      <c r="J13" s="3">
        <f>E13/E$2</f>
        <v>0.69999999999999996</v>
      </c>
      <c r="K13" s="3">
        <f>F13/F$2</f>
        <v>1</v>
      </c>
      <c r="M13" s="4" t="b">
        <f>OR(H13&lt;0.5,I13&lt;0.5,J13&lt;0.5,K13&lt;0.5)</f>
        <v>0</v>
      </c>
    </row>
    <row r="14" ht="14.25">
      <c r="A14" t="s">
        <v>29</v>
      </c>
      <c r="B14" t="s">
        <v>30</v>
      </c>
      <c r="C14">
        <v>10</v>
      </c>
      <c r="D14">
        <v>19</v>
      </c>
      <c r="E14">
        <v>80</v>
      </c>
      <c r="F14">
        <v>1</v>
      </c>
      <c r="H14" s="3">
        <f>C14/C$2</f>
        <v>1</v>
      </c>
      <c r="I14" s="3">
        <f>D14/D$2</f>
        <v>0.94999999999999996</v>
      </c>
      <c r="J14" s="3">
        <f>E14/E$2</f>
        <v>0.80000000000000004</v>
      </c>
      <c r="K14" s="3">
        <f>F14/F$2</f>
        <v>1</v>
      </c>
      <c r="M14" s="4" t="b">
        <f>OR(H14&lt;0.5,I14&lt;0.5,J14&lt;0.5,K14&lt;0.5)</f>
        <v>0</v>
      </c>
    </row>
    <row r="15" ht="14.25">
      <c r="A15" t="s">
        <v>31</v>
      </c>
      <c r="B15" t="s">
        <v>32</v>
      </c>
      <c r="C15">
        <v>8</v>
      </c>
      <c r="D15">
        <v>17</v>
      </c>
      <c r="E15">
        <v>90</v>
      </c>
      <c r="F15">
        <v>1</v>
      </c>
      <c r="H15" s="3">
        <f>C15/C$2</f>
        <v>0.80000000000000004</v>
      </c>
      <c r="I15" s="3">
        <f>D15/D$2</f>
        <v>0.84999999999999998</v>
      </c>
      <c r="J15" s="3">
        <f>E15/E$2</f>
        <v>0.90000000000000002</v>
      </c>
      <c r="K15" s="3">
        <f>F15/F$2</f>
        <v>1</v>
      </c>
      <c r="M15" s="4" t="b">
        <f>OR(H15&lt;0.5,I15&lt;0.5,J15&lt;0.5,K15&lt;0.5)</f>
        <v>0</v>
      </c>
    </row>
    <row r="16" ht="14.25">
      <c r="A16" t="s">
        <v>33</v>
      </c>
      <c r="B16" t="s">
        <v>34</v>
      </c>
      <c r="C16">
        <v>9</v>
      </c>
      <c r="D16">
        <v>19</v>
      </c>
      <c r="E16">
        <v>45</v>
      </c>
      <c r="F16">
        <v>0</v>
      </c>
      <c r="H16" s="3">
        <f>C16/C$2</f>
        <v>0.90000000000000002</v>
      </c>
      <c r="I16" s="3">
        <f>D16/D$2</f>
        <v>0.94999999999999996</v>
      </c>
      <c r="J16" s="3">
        <f>E16/E$2</f>
        <v>0.45000000000000001</v>
      </c>
      <c r="K16" s="3">
        <f>F16/F$2</f>
        <v>0</v>
      </c>
      <c r="M16" s="4" t="b">
        <f>OR(H16&lt;0.5,I16&lt;0.5,J16&lt;0.5,K16&lt;0.5)</f>
        <v>1</v>
      </c>
    </row>
    <row r="17" ht="14.25">
      <c r="A17" t="s">
        <v>35</v>
      </c>
      <c r="B17" t="s">
        <v>36</v>
      </c>
      <c r="C17">
        <v>7</v>
      </c>
      <c r="D17">
        <v>20</v>
      </c>
      <c r="E17">
        <v>90</v>
      </c>
      <c r="F17">
        <v>1</v>
      </c>
      <c r="H17" s="3">
        <f>C17/C$2</f>
        <v>0.69999999999999996</v>
      </c>
      <c r="I17" s="3">
        <f>D17/D$2</f>
        <v>1</v>
      </c>
      <c r="J17" s="3">
        <f>E17/E$2</f>
        <v>0.90000000000000002</v>
      </c>
      <c r="K17" s="3">
        <f>F17/F$2</f>
        <v>1</v>
      </c>
      <c r="M17" s="4" t="b">
        <f>OR(H17&lt;0.5,I17&lt;0.5,J17&lt;0.5,K17&lt;0.5)</f>
        <v>0</v>
      </c>
    </row>
    <row r="18" ht="14.25">
      <c r="A18" t="s">
        <v>37</v>
      </c>
      <c r="B18" t="s">
        <v>38</v>
      </c>
      <c r="C18">
        <v>10</v>
      </c>
      <c r="D18">
        <v>10</v>
      </c>
      <c r="E18">
        <v>80</v>
      </c>
      <c r="F18">
        <v>1</v>
      </c>
      <c r="H18" s="3">
        <f>C18/C$2</f>
        <v>1</v>
      </c>
      <c r="I18" s="3">
        <f>D18/D$2</f>
        <v>0.5</v>
      </c>
      <c r="J18" s="3">
        <f>E18/E$2</f>
        <v>0.80000000000000004</v>
      </c>
      <c r="K18" s="3">
        <f>F18/F$2</f>
        <v>1</v>
      </c>
      <c r="M18" s="4" t="b">
        <f>OR(H18&lt;0.5,I18&lt;0.5,J18&lt;0.5,K18&lt;0.5)</f>
        <v>0</v>
      </c>
    </row>
    <row r="19" ht="14.25">
      <c r="A19" t="s">
        <v>39</v>
      </c>
      <c r="B19" t="s">
        <v>40</v>
      </c>
      <c r="C19">
        <v>11</v>
      </c>
      <c r="D19">
        <v>20</v>
      </c>
      <c r="E19">
        <v>69</v>
      </c>
      <c r="F19">
        <v>1</v>
      </c>
      <c r="H19" s="3">
        <f>C19/C$2</f>
        <v>1.1000000000000001</v>
      </c>
      <c r="I19" s="3">
        <f>D19/D$2</f>
        <v>1</v>
      </c>
      <c r="J19" s="3">
        <f>E19/E$2</f>
        <v>0.68999999999999995</v>
      </c>
      <c r="K19" s="3">
        <f>F19/F$2</f>
        <v>1</v>
      </c>
      <c r="M19" s="4" t="b">
        <f>OR(H19&lt;0.5,I19&lt;0.5,J19&lt;0.5,K19&lt;0.5)</f>
        <v>0</v>
      </c>
    </row>
    <row r="20" ht="14.25">
      <c r="A20" t="s">
        <v>41</v>
      </c>
      <c r="B20" t="s">
        <v>42</v>
      </c>
      <c r="C20">
        <v>10</v>
      </c>
      <c r="D20">
        <v>14</v>
      </c>
      <c r="E20">
        <v>90</v>
      </c>
      <c r="F20">
        <v>1</v>
      </c>
      <c r="H20" s="3">
        <f>C20/C$2</f>
        <v>1</v>
      </c>
      <c r="I20" s="3">
        <f>D20/D$2</f>
        <v>0.69999999999999996</v>
      </c>
      <c r="J20" s="3">
        <f>E20/E$2</f>
        <v>0.90000000000000002</v>
      </c>
      <c r="K20" s="3">
        <f>F20/F$2</f>
        <v>1</v>
      </c>
      <c r="M20" s="4" t="b">
        <f>OR(H20&lt;0.5,I20&lt;0.5,J20&lt;0.5,K20&lt;0.5)</f>
        <v>0</v>
      </c>
    </row>
    <row r="22" ht="14.25">
      <c r="A22" t="s">
        <v>43</v>
      </c>
      <c r="C22">
        <f>MAX(C4:C20)</f>
        <v>11</v>
      </c>
      <c r="D22">
        <f>MAX(D4:D20)</f>
        <v>20</v>
      </c>
      <c r="E22">
        <f>MAX(E4:E20)</f>
        <v>100</v>
      </c>
      <c r="H22" s="5">
        <f>MAX(H4:H20)</f>
        <v>1.1000000000000001</v>
      </c>
      <c r="I22" s="5">
        <f>MAX(I4:I20)</f>
        <v>1</v>
      </c>
      <c r="J22" s="5">
        <f>MAX(J4:J20)</f>
        <v>1</v>
      </c>
      <c r="K22" s="5">
        <f>MAX(K4:K20)</f>
        <v>1</v>
      </c>
    </row>
    <row r="23" ht="14.25">
      <c r="A23" t="s">
        <v>44</v>
      </c>
      <c r="C23">
        <f>MIN(C4:C20)</f>
        <v>5</v>
      </c>
      <c r="D23">
        <f>MIN(D4:D20)</f>
        <v>6</v>
      </c>
      <c r="E23">
        <f>MIN(E4:E20)</f>
        <v>45</v>
      </c>
      <c r="H23" s="5">
        <f>MIN(H4:H20)</f>
        <v>0.5</v>
      </c>
      <c r="I23" s="5">
        <f>MIN(I4:I20)</f>
        <v>0.29999999999999999</v>
      </c>
      <c r="J23" s="5">
        <f>MIN(J4:J20)</f>
        <v>0.45000000000000001</v>
      </c>
      <c r="K23" s="5">
        <f>MIN(K4:K20)</f>
        <v>0</v>
      </c>
    </row>
    <row r="24" ht="14.25">
      <c r="A24" t="s">
        <v>45</v>
      </c>
      <c r="C24">
        <f>AVERAGE(C4:C20)</f>
        <v>8.9411764705882355</v>
      </c>
      <c r="D24">
        <f>AVERAGE(D4:D20)</f>
        <v>16.941176470588236</v>
      </c>
      <c r="E24">
        <f>AVERAGE(E4:E20)</f>
        <v>81.647058823529406</v>
      </c>
      <c r="H24" s="5">
        <f>AVERAGE(H4:H20)</f>
        <v>0.89411764705882346</v>
      </c>
      <c r="I24" s="5">
        <f>AVERAGE(I4:I20)</f>
        <v>0.84705882352941153</v>
      </c>
      <c r="J24" s="5">
        <f>AVERAGE(J4:J20)</f>
        <v>0.81647058823529417</v>
      </c>
      <c r="K24" s="5">
        <f>AVERAGE(K4:K20)</f>
        <v>0.88235294117647056</v>
      </c>
    </row>
  </sheetData>
  <conditionalFormatting sqref="C4:C20">
    <cfRule type="iconSet" priority="8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D4:D20">
    <cfRule type="iconSet" priority="7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E4:E20">
    <cfRule type="iconSet" priority="6">
      <iconSet iconSet="4TrafficLights">
        <cfvo type="percent" val="0"/>
        <cfvo type="percent" val="25"/>
        <cfvo type="percent" val="50"/>
        <cfvo type="percent" val="75"/>
      </iconSet>
    </cfRule>
  </conditionalFormatting>
  <conditionalFormatting sqref="F4:F20">
    <cfRule type="iconSet" priority="5">
      <iconSet iconSet="4TrafficLights">
        <cfvo type="percent" val="0"/>
        <cfvo type="percent" val="25"/>
        <cfvo type="percent" val="50"/>
        <cfvo type="percent" val="75"/>
      </iconSet>
    </cfRule>
  </conditionalFormatting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4" operator="lessThan" id="{00830078-001F-49A4-85DF-0000002500C3}">
            <xm:f>0.5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H4:K20</xm:sqref>
        </x14:conditionalFormatting>
        <x14:conditionalFormatting xmlns:xm="http://schemas.microsoft.com/office/excel/2006/main">
          <x14:cfRule type="cellIs" priority="3" operator="equal" id="{006E0050-0083-4258-B8DB-00A7008B00D0}">
            <xm:f>"true"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M4:M20</xm:sqref>
        </x14:conditionalFormatting>
        <x14:conditionalFormatting xmlns:xm="http://schemas.microsoft.com/office/excel/2006/main">
          <x14:cfRule type="cellIs" priority="2" operator="equal" id="{003C0029-0023-4439-8A7C-004E006D0035}">
            <xm:f>"true"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M4:M20</xm:sqref>
        </x14:conditionalFormatting>
        <x14:conditionalFormatting xmlns:xm="http://schemas.microsoft.com/office/excel/2006/main">
          <x14:cfRule type="containsText" priority="1" text="true" id="{00040024-001E-46BD-A86A-00E700510045}">
            <xm:f>NOT(ISERROR(SEARCH("true",M4)))</xm:f>
            <x14:dxf>
              <font>
                <color rgb="FF9C0006"/>
              </font>
              <fill>
                <patternFill patternType="solid">
                  <fgColor rgb="FFFFC7CE"/>
                  <bgColor rgb="FFFFC7CE"/>
                </patternFill>
              </fill>
            </x14:dxf>
          </x14:cfRule>
          <xm:sqref>M4:M20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ONLYOFFICE/8.2.1.38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2025-05-04T17:44:24Z</dcterms:modified>
</cp:coreProperties>
</file>